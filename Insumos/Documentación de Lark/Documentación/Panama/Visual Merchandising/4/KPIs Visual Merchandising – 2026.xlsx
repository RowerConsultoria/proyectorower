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esumen Regional" sheetId="2" r:id="rId5"/>
    <sheet name="Panamá" sheetId="3" r:id="rId6"/>
    <sheet name="Venezuela" sheetId="4" r:id="rId7"/>
    <sheet name="Colombia" sheetId="5" r:id="rId8"/>
    <sheet name="Guatemala" sheetId="6" r:id="rId9"/>
    <sheet name="Ecuador" sheetId="7" r:id="rId10"/>
    <sheet name="El Salvador" sheetId="8" r:id="rId11"/>
    <sheet name="Costa Rica" sheetId="9" r:id="rId12"/>
    <sheet name="Nicaragua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<sst xmlns="http://schemas.openxmlformats.org/spreadsheetml/2006/main" count="171" uniqueCount="171">
  <si>
    <t xml:space="preserve">  </t>
  </si>
  <si>
    <t xml:space="preserve">PAÍS</t>
  </si>
  <si>
    <t xml:space="preserve">SCORE TOTAL</t>
  </si>
  <si>
    <t xml:space="preserve">ESTADO</t>
  </si>
  <si>
    <t xml:space="preserve">Panamá</t>
  </si>
  <si>
    <t xml:space="preserve">Venezuela</t>
  </si>
  <si>
    <t xml:space="preserve">Colombia</t>
  </si>
  <si>
    <t xml:space="preserve">Guatemala</t>
  </si>
  <si>
    <t xml:space="preserve">Ecuador</t>
  </si>
  <si>
    <t xml:space="preserve">El Salvador</t>
  </si>
  <si>
    <t xml:space="preserve">Costa Rica</t>
  </si>
  <si>
    <t xml:space="preserve">Nicaragua</t>
  </si>
  <si>
    <t xml:space="preserve">PROMEDIO REGIONAL</t>
  </si>
  <si>
    <t xml:space="preserve">PAÍS:</t>
  </si>
  <si>
    <t xml:space="preserve">PANAMÁ</t>
  </si>
  <si>
    <t xml:space="preserve">COORDINADOR:</t>
  </si>
  <si>
    <t xml:space="preserve">SABRINA BARONI</t>
  </si>
  <si>
    <t xml:space="preserve">MES / AÑO:</t>
  </si>
  <si>
    <t xml:space="preserve">MAYO</t>
  </si>
  <si>
    <t xml:space="preserve">EJECUTIVA 1: </t>
  </si>
  <si>
    <t xml:space="preserve">KATHERIN BERMUDEZ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</si>
  <si>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</si>
  <si>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</si>
  <si>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</si>
  <si>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</si>
  <si>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</si>
  <si>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 </t>
  </si>
  <si>
    <t xml:space="preserve">Base de datos clientes</t>
  </si>
  <si>
    <t xml:space="preserve">Inventario material POP y Muebles</t>
  </si>
  <si>
    <t xml:space="preserve">Seguimientos</t>
  </si>
  <si>
    <t xml:space="preserve">Cumplimineto de Tareas </t>
  </si>
  <si>
    <t xml:space="preserve">SCORE COORDINADOR</t>
  </si>
  <si>
    <t xml:space="preserve">EJECUTIVA 2: </t>
  </si>
  <si>
    <t xml:space="preserve">YAHAEL RECUERO</t>
  </si>
  <si>
    <t xml:space="preserve">Reporte de Gastos</t>
  </si>
  <si>
    <t xml:space="preserve">SCORE EJECUTIVA 1</t>
  </si>
  <si>
    <t xml:space="preserve">EJECUTIVO 3:</t>
  </si>
  <si>
    <t xml:space="preserve">LUISA CASTRELLÓN</t>
  </si>
  <si>
    <t xml:space="preserve">SCORE EJECUTIVA 2</t>
  </si>
  <si>
    <t xml:space="preserve">SCORE PAÍS PANAMÁ</t>
  </si>
  <si>
    <t xml:space="preserve">PAÍS:</t>
  </si>
  <si>
    <t xml:space="preserve">VENEZUELA</t>
  </si>
  <si>
    <t xml:space="preserve">COORDINADOR:</t>
  </si>
  <si>
    <t xml:space="preserve">RODOLFO</t>
  </si>
  <si>
    <t xml:space="preserve">MES / AÑO:</t>
  </si>
  <si>
    <t xml:space="preserve">MAYO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</si>
  <si>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</si>
  <si>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</si>
  <si>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</si>
  <si>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</si>
  <si>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</si>
  <si>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A la fecha, Rodolfo no lo llena desde abril</t>
  </si>
  <si>
    <t xml:space="preserve">Reporte de Gastos</t>
  </si>
  <si>
    <t xml:space="preserve">Base de datos clientes</t>
  </si>
  <si>
    <t xml:space="preserve">Inventario material POP y Muebles</t>
  </si>
  <si>
    <t xml:space="preserve">Solo lo actualiza Angel</t>
  </si>
  <si>
    <t xml:space="preserve">Seguimientos</t>
  </si>
  <si>
    <t xml:space="preserve">Cumplimineto de Tareas </t>
  </si>
  <si>
    <t xml:space="preserve">SCORE COORDINADOR</t>
  </si>
  <si>
    <t xml:space="preserve">PAÍS</t>
  </si>
  <si>
    <t xml:space="preserve">COLOMBIA</t>
  </si>
  <si>
    <t xml:space="preserve">COORDINADOR</t>
  </si>
  <si>
    <t xml:space="preserve">JOSÉ LOPEZ</t>
  </si>
  <si>
    <t xml:space="preserve">EJECUTIVO</t>
  </si>
  <si>
    <t xml:space="preserve">MATEO</t>
  </si>
  <si>
    <t xml:space="preserve">MES / AÑO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</si>
  <si>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</si>
  <si>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</si>
  <si>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</si>
  <si>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</si>
  <si>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</si>
  <si>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</t>
  </si>
  <si>
    <t xml:space="preserve">Base de datos clientes</t>
  </si>
  <si>
    <t xml:space="preserve">Inventario material POP y Muebles</t>
  </si>
  <si>
    <t xml:space="preserve">Seguimientos</t>
  </si>
  <si>
    <t xml:space="preserve">Cumplimiento de Tareas </t>
  </si>
  <si>
    <t xml:space="preserve">SCORE JOSÉ</t>
  </si>
  <si>
    <t xml:space="preserve">Cumplimineto de Tareas </t>
  </si>
  <si>
    <t xml:space="preserve">SCORE MATEO</t>
  </si>
  <si>
    <t xml:space="preserve">SCORE PAÍS COLOMBIA</t>
  </si>
  <si>
    <t xml:space="preserve">PAÍS</t>
  </si>
  <si>
    <t xml:space="preserve">GUATEMALA</t>
  </si>
  <si>
    <t xml:space="preserve">EJECUTIVO</t>
  </si>
  <si>
    <t xml:space="preserve">WANDER CORADO</t>
  </si>
  <si>
    <t xml:space="preserve">MAURICIO</t>
  </si>
  <si>
    <t xml:space="preserve">MES / AÑO</t>
  </si>
  <si>
    <t xml:space="preserve">MAYO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</si>
  <si>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</si>
  <si>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</si>
  <si>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</si>
  <si>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</si>
  <si>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</si>
  <si>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</t>
  </si>
  <si>
    <t xml:space="preserve">Base de datos clientes</t>
  </si>
  <si>
    <t xml:space="preserve">Inventario material POP y Muebles</t>
  </si>
  <si>
    <t xml:space="preserve">Seguimientos</t>
  </si>
  <si>
    <t xml:space="preserve">Cumplimiento de Tareas </t>
  </si>
  <si>
    <t xml:space="preserve">SCORE EJECUTIVO WANDER</t>
  </si>
  <si>
    <t xml:space="preserve">Cumplimineto de Tareas </t>
  </si>
  <si>
    <t xml:space="preserve">SCORE EJECUTIVO MAURICIO</t>
  </si>
  <si>
    <t xml:space="preserve">SCORE PAÍS GUATEMALA</t>
  </si>
  <si>
    <t xml:space="preserve">PAÍS</t>
  </si>
  <si>
    <t xml:space="preserve">ECUADOR</t>
  </si>
  <si>
    <t xml:space="preserve">COORDINADOR</t>
  </si>
  <si>
    <t xml:space="preserve">VERÓNICA MÉNDEZ</t>
  </si>
  <si>
    <t xml:space="preserve">MES / AÑO</t>
  </si>
  <si>
    <t xml:space="preserve">MAYO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</si>
  <si>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</si>
  <si>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</si>
  <si>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</si>
  <si>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</si>
  <si>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</si>
  <si>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</t>
  </si>
  <si>
    <t xml:space="preserve">Base de datos clientes</t>
  </si>
  <si>
    <t xml:space="preserve">Inventario material POP y Muebles</t>
  </si>
  <si>
    <t xml:space="preserve">Seguimientos</t>
  </si>
  <si>
    <t xml:space="preserve">Cumplimiento de Tareas </t>
  </si>
  <si>
    <t xml:space="preserve">SCORE ECUADOR</t>
  </si>
  <si>
    <t xml:space="preserve">PAÍS</t>
  </si>
  <si>
    <t xml:space="preserve">EL SALVADOR</t>
  </si>
  <si>
    <t xml:space="preserve">COORDINADOR</t>
  </si>
  <si>
    <t xml:space="preserve">JORGE MANCÍA</t>
  </si>
  <si>
    <t xml:space="preserve">MES / AÑO</t>
  </si>
  <si>
    <t xml:space="preserve">MAYO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</si>
  <si>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</si>
  <si>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</si>
  <si>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</si>
  <si>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</si>
  <si>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</si>
  <si>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</t>
  </si>
  <si>
    <t xml:space="preserve">Base de datos clientes</t>
  </si>
  <si>
    <t xml:space="preserve">Inventario material POP y Muebles</t>
  </si>
  <si>
    <t xml:space="preserve">Seguimientos</t>
  </si>
  <si>
    <t xml:space="preserve">Cumplimiento de Tareas </t>
  </si>
  <si>
    <t xml:space="preserve">SCORE EL SALVADOR</t>
  </si>
  <si>
    <t xml:space="preserve">PAÍS</t>
  </si>
  <si>
    <t xml:space="preserve">COSTA RICA</t>
  </si>
  <si>
    <t xml:space="preserve">EJECUTIVO</t>
  </si>
  <si>
    <t xml:space="preserve">JOVANNA MONTES</t>
  </si>
  <si>
    <t xml:space="preserve">MES / AÑO</t>
  </si>
  <si>
    <t xml:space="preserve">MAYO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</si>
  <si>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</si>
  <si>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</si>
  <si>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</si>
  <si>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</si>
  <si>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</si>
  <si>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</t>
  </si>
  <si>
    <t xml:space="preserve">Base de datos clientes</t>
  </si>
  <si>
    <t xml:space="preserve">Inventario material POP y Muebles</t>
  </si>
  <si>
    <t xml:space="preserve">Seguimientos</t>
  </si>
  <si>
    <t xml:space="preserve">Cumplimiento de Tareas </t>
  </si>
  <si>
    <t xml:space="preserve">SCORE EL COSTA RICA</t>
  </si>
  <si>
    <t xml:space="preserve">PAÍS</t>
  </si>
  <si>
    <t xml:space="preserve">NICARAGUA</t>
  </si>
  <si>
    <t xml:space="preserve">COORDINADOR</t>
  </si>
  <si>
    <t xml:space="preserve">SABRINA</t>
  </si>
  <si>
    <t xml:space="preserve">EJECUTIVO</t>
  </si>
  <si>
    <t xml:space="preserve">ANA GAITÁN</t>
  </si>
  <si>
    <t xml:space="preserve">MES / AÑO</t>
  </si>
  <si>
    <t xml:space="preserve">MAYO/JUNIO 2026</t>
  </si>
  <si>
    <t xml:space="preserve">KPI</t>
  </si>
  <si>
    <t xml:space="preserve">META</t>
  </si>
  <si>
    <t xml:space="preserve">RESULTADO</t>
  </si>
  <si>
    <t xml:space="preserve">SCORE</t>
  </si>
  <si>
    <t xml:space="preserve">Cronograma diario</t>
  </si>
  <si>
    <t xml:space="preserve">Reporte de Gastos</t>
  </si>
  <si>
    <t xml:space="preserve">Base de datos clientes</t>
  </si>
  <si>
    <t xml:space="preserve">Inventario material POP y Muebles</t>
  </si>
  <si>
    <t xml:space="preserve">Seguimientos</t>
  </si>
  <si>
    <t xml:space="preserve">Cumplimineto de Tareas </t>
  </si>
  <si>
    <t xml:space="preserve">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</si>
</sst>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0%"/>
    <numFmt numFmtId="165" formatCode="0%"/>
    <numFmt numFmtId="166" formatCode="0%"/>
    <numFmt numFmtId="167" formatCode="0%"/>
    <numFmt numFmtId="168" formatCode="0%"/>
    <numFmt numFmtId="169" formatCode="0%"/>
    <numFmt numFmtId="170" formatCode="0%"/>
    <numFmt numFmtId="171" formatCode="0%"/>
  </numFmts>
  <fonts count="5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i val="true"/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true" applyProtection="false" borderId="0" fillId="0" fontId="1" numFmtId="164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5" xfId="0">
      <alignment vertical="center"/>
    </xf>
    <xf applyAlignment="true" applyBorder="false" applyFill="false" applyFont="true" applyNumberFormat="true" applyProtection="false" borderId="0" fillId="0" fontId="1" numFmtId="165" xfId="0">
      <alignment vertical="center"/>
    </xf>
    <xf applyAlignment="true" applyBorder="false" applyFill="false" applyFont="true" applyNumberFormat="true" applyProtection="false" borderId="0" fillId="0" fontId="1" numFmtId="165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6" xfId="0">
      <alignment vertical="center"/>
    </xf>
    <xf applyAlignment="true" applyBorder="false" applyFill="false" applyFont="true" applyNumberFormat="true" applyProtection="false" borderId="0" fillId="0" fontId="1" numFmtId="166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0" fillId="2" fontId="4" numFmtId="166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7" xfId="0">
      <alignment vertical="center"/>
    </xf>
    <xf applyAlignment="true" applyBorder="false" applyFill="false" applyFont="true" applyNumberFormat="true" applyProtection="false" borderId="0" fillId="0" fontId="1" numFmtId="167" xfId="0">
      <alignment vertical="center"/>
    </xf>
    <xf applyAlignment="true" applyBorder="false" applyFill="false" applyFont="true" applyNumberFormat="true" applyProtection="false" borderId="0" fillId="0" fontId="1" numFmtId="167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8" xfId="0">
      <alignment vertical="center"/>
    </xf>
    <xf applyAlignment="true" applyBorder="false" applyFill="false" applyFont="true" applyNumberFormat="true" applyProtection="false" borderId="0" fillId="0" fontId="1" numFmtId="168" xfId="0">
      <alignment vertical="center"/>
    </xf>
    <xf applyAlignment="true" applyBorder="false" applyFill="false" applyFont="true" applyNumberFormat="true" applyProtection="false" borderId="0" fillId="0" fontId="1" numFmtId="168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69" xfId="0">
      <alignment vertical="center"/>
    </xf>
    <xf applyAlignment="true" applyBorder="false" applyFill="false" applyFont="true" applyNumberFormat="true" applyProtection="false" borderId="0" fillId="0" fontId="1" numFmtId="169" xfId="0">
      <alignment vertical="center"/>
    </xf>
    <xf applyAlignment="true" applyBorder="false" applyFill="false" applyFont="true" applyNumberFormat="true" applyProtection="false" borderId="0" fillId="0" fontId="1" numFmtId="169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70" xfId="0">
      <alignment vertical="center"/>
    </xf>
    <xf applyAlignment="true" applyBorder="false" applyFill="false" applyFont="true" applyNumberFormat="true" applyProtection="false" borderId="0" fillId="0" fontId="1" numFmtId="170" xfId="0">
      <alignment vertical="center"/>
    </xf>
    <xf applyAlignment="true" applyBorder="false" applyFill="false" applyFont="true" applyNumberFormat="true" applyProtection="false" borderId="0" fillId="0" fontId="1" numFmtId="17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71" xfId="0">
      <alignment horizontal="center" vertical="center"/>
    </xf>
    <xf applyAlignment="true" applyBorder="false" applyFill="false" applyFont="true" applyNumberFormat="true" applyProtection="false" borderId="0" fillId="0" fontId="1" numFmtId="171" xfId="0">
      <alignment horizontal="center" vertical="center"/>
    </xf>
  </cellXfs>
  <cellStyles count="1">
    <cellStyle builtinId="0" name="Normal" xfId="0"/>
  </cellStyles>
  <dxfs count="24">
    <dxf>
      <font>
        <b val="true"/>
        <i val="true"/>
        <sz val="11"/>
        <color rgb="FF000000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1F2329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000000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1F2329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1F2329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000000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1F2329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1F2329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000000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1F2329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000000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1F2329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000000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  <dxf>
      <font>
        <b val="true"/>
        <i val="true"/>
        <sz val="11"/>
        <color rgb="FF1F2329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000000"/>
        <name val="Calibri"/>
        <family val="2"/>
        <scheme val="minor"/>
      </font>
      <fill>
        <patternFill patternType="solid">
          <fgColor/>
          <bgColor rgb="FFFFF258"/>
        </patternFill>
      </fill>
    </dxf>
    <dxf>
      <font>
        <sz val="11"/>
        <color rgb="FFFFFFFF"/>
        <name val="Calibri"/>
        <family val="2"/>
        <scheme val="minor"/>
      </font>
      <fill>
        <patternFill patternType="solid">
          <fgColor/>
          <bgColor rgb="FFF54A45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3" defaultRowHeight="18"/>
  <cols>
    <col collapsed="false" customWidth="true" hidden="false" max="1" min="1" style="0" width="17"/>
    <col collapsed="false" customWidth="true" hidden="false" max="2" min="2" style="0" width="11"/>
  </cols>
  <sheetData>
    <row r="1">
      <c r="A1" t="s">
        <v>1</v>
      </c>
      <c r="B1" s="1" t="s">
        <v>2</v>
      </c>
      <c r="C1" s="1" t="s">
        <v>3</v>
      </c>
    </row>
    <row r="2">
      <c r="A2" s="2" t="s">
        <v>4</v>
      </c>
      <c r="B2" s="1">
        <f>'Panamá'!D38</f>
      </c>
      <c r="C2" s="1">
        <f t="shared" ref="C2:C9" si="0">IF(B2&gt;=0.9,"🟢",IF(B2&gt;=0.8,"🟡","🔴"))</f>
      </c>
    </row>
    <row r="3">
      <c r="A3" s="2" t="s">
        <v>5</v>
      </c>
      <c r="B3" s="3">
        <f>'Venezuela'!D14</f>
      </c>
      <c r="C3" s="1">
        <f t="shared" si="0"/>
      </c>
    </row>
    <row r="4">
      <c r="A4" s="2" t="s">
        <v>6</v>
      </c>
      <c r="B4" s="1">
        <f>'Colombia'!D27</f>
      </c>
      <c r="C4" s="1">
        <f t="shared" si="0"/>
      </c>
    </row>
    <row r="5">
      <c r="A5" s="2" t="s">
        <v>7</v>
      </c>
      <c r="B5" s="1">
        <f>'Guatemala'!D28</f>
      </c>
      <c r="C5" s="1">
        <f t="shared" si="0"/>
      </c>
    </row>
    <row r="6">
      <c r="A6" s="2" t="s">
        <v>8</v>
      </c>
      <c r="B6" s="1">
        <f>'Ecuador'!D13</f>
      </c>
      <c r="C6" s="1">
        <f t="shared" si="0"/>
      </c>
    </row>
    <row r="7">
      <c r="A7" s="2" t="s">
        <v>9</v>
      </c>
      <c r="B7" s="1">
        <f>'El Salvador'!D13</f>
      </c>
      <c r="C7" s="1">
        <f t="shared" si="0"/>
      </c>
    </row>
    <row r="8">
      <c r="A8" s="2" t="s">
        <v>10</v>
      </c>
      <c r="B8" s="1">
        <f>'Costa Rica'!D14</f>
      </c>
      <c r="C8" s="1">
        <f t="shared" si="0"/>
      </c>
    </row>
    <row r="9">
      <c r="A9" s="2" t="s">
        <v>11</v>
      </c>
      <c r="B9" s="1">
        <f>'Nicaragua'!D14</f>
      </c>
      <c r="C9" s="1">
        <f t="shared" si="0"/>
      </c>
    </row>
    <row r="10">
      <c r="B10" s="1"/>
      <c r="C10" s="1"/>
    </row>
    <row customHeight="true" ht="18" r="11">
      <c r="A11" t="s">
        <v>12</v>
      </c>
      <c r="B11" s="4">
        <f>AVERAGE(B2:B9)</f>
      </c>
      <c r="C11" s="1">
        <f>IF(B11&gt;=0.9,"🟢",IF(B11&gt;=0.8,"🟡","🔴"))</f>
      </c>
    </row>
    <row customHeight="true" ht="18" r="12">
      <c r="B12" s="1"/>
      <c r="C12" s="1"/>
    </row>
    <row customHeight="true" ht="18"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7"/>
    <col collapsed="false" customWidth="true" hidden="false" max="2" min="2" style="0" width="17"/>
    <col collapsed="false" customWidth="true" hidden="false" max="3" min="3" style="0" width="13"/>
  </cols>
  <sheetData>
    <row r="1">
      <c r="A1" s="5" t="s">
        <v>13</v>
      </c>
      <c r="B1" s="5" t="s">
        <v>14</v>
      </c>
    </row>
    <row r="2">
      <c r="A2" t="s">
        <v>15</v>
      </c>
      <c r="B2" s="5" t="s">
        <v>16</v>
      </c>
      <c r="C2" s="5"/>
    </row>
    <row r="3">
      <c r="A3" t="s">
        <v>17</v>
      </c>
      <c r="B3" s="5" t="s">
        <v>18</v>
      </c>
    </row>
    <row r="4"/>
    <row r="5">
      <c r="A5" s="5" t="s">
        <v>19</v>
      </c>
      <c r="B5" s="5" t="s">
        <v>20</v>
      </c>
    </row>
    <row r="6">
      <c r="A6" t="s">
        <v>21</v>
      </c>
      <c r="B6" t="s">
        <v>22</v>
      </c>
      <c r="C6" t="s">
        <v>23</v>
      </c>
      <c r="D6" t="s">
        <v>24</v>
      </c>
    </row>
    <row r="7">
      <c r="A7" s="5" t="s">
        <v>25</v>
      </c>
      <c r="B7" s="6">
        <v>1</v>
      </c>
      <c r="C7" s="7">
        <v>0.9</v>
      </c>
      <c r="D7" s="6">
        <f t="shared" ref="D7:D12" si="0">C7/B7</f>
      </c>
    </row>
    <row r="8">
      <c r="A8" s="5" t="s">
        <v>26</v>
      </c>
      <c r="B8" s="6">
        <v>1</v>
      </c>
      <c r="C8" s="7">
        <v>0.8</v>
      </c>
      <c r="D8" s="6">
        <f t="shared" si="0"/>
      </c>
    </row>
    <row r="9">
      <c r="A9" s="5" t="s">
        <v>27</v>
      </c>
      <c r="B9" s="6">
        <v>1</v>
      </c>
      <c r="C9" s="8">
        <v>0.7</v>
      </c>
      <c r="D9" s="6">
        <f t="shared" si="0"/>
      </c>
    </row>
    <row r="10">
      <c r="A10" s="5" t="s">
        <v>28</v>
      </c>
      <c r="B10" s="6">
        <v>1</v>
      </c>
      <c r="C10" s="7">
        <v>0.6</v>
      </c>
      <c r="D10" s="6">
        <f t="shared" si="0"/>
      </c>
    </row>
    <row r="11">
      <c r="A11" s="5" t="s">
        <v>29</v>
      </c>
      <c r="B11" s="6">
        <v>1</v>
      </c>
      <c r="C11" s="8">
        <v>0.6</v>
      </c>
      <c r="D11" s="6">
        <f t="shared" si="0"/>
      </c>
    </row>
    <row r="12">
      <c r="A12" s="5" t="s">
        <v>30</v>
      </c>
      <c r="B12" s="6">
        <v>1</v>
      </c>
      <c r="C12" s="7">
        <v>0.9</v>
      </c>
      <c r="D12" s="6">
        <f t="shared" si="0"/>
      </c>
    </row>
    <row r="13"/>
    <row r="14">
      <c r="A14" t="s">
        <v>31</v>
      </c>
      <c r="D14">
        <f>AVERAGE(D7:D12)</f>
      </c>
    </row>
    <row r="15"/>
    <row r="16"/>
    <row r="17">
      <c r="A17" s="5" t="s">
        <v>32</v>
      </c>
      <c r="B17" s="5" t="s">
        <v>33</v>
      </c>
    </row>
    <row r="18">
      <c r="A18" t="s">
        <v>21</v>
      </c>
      <c r="B18" t="s">
        <v>22</v>
      </c>
      <c r="C18" t="s">
        <v>23</v>
      </c>
      <c r="D18" t="s">
        <v>24</v>
      </c>
    </row>
    <row r="19">
      <c r="A19" s="5" t="s">
        <v>25</v>
      </c>
      <c r="B19" s="7">
        <v>1</v>
      </c>
      <c r="C19" s="7">
        <v>0.9</v>
      </c>
      <c r="D19" s="6">
        <f t="shared" ref="D19:D23" si="1">C19/B19</f>
      </c>
    </row>
    <row r="20">
      <c r="A20" s="5" t="s">
        <v>34</v>
      </c>
      <c r="B20" s="8">
        <v>1</v>
      </c>
      <c r="C20" s="8">
        <v>0.8</v>
      </c>
      <c r="D20" s="6">
        <f t="shared" si="1"/>
      </c>
    </row>
    <row r="21">
      <c r="A21" s="5" t="s">
        <v>27</v>
      </c>
      <c r="B21" s="8">
        <v>1</v>
      </c>
      <c r="C21" s="8">
        <v>0.7</v>
      </c>
      <c r="D21" s="6">
        <f t="shared" si="1"/>
      </c>
    </row>
    <row r="22">
      <c r="A22" s="5" t="s">
        <v>28</v>
      </c>
      <c r="B22" s="8">
        <v>1</v>
      </c>
      <c r="C22" s="8">
        <v>0.7</v>
      </c>
      <c r="D22" s="6">
        <f t="shared" si="1"/>
      </c>
    </row>
    <row r="23">
      <c r="A23" s="5" t="s">
        <v>29</v>
      </c>
      <c r="B23" s="8">
        <v>1</v>
      </c>
      <c r="C23" s="8">
        <v>0.9</v>
      </c>
      <c r="D23" s="6">
        <f t="shared" si="1"/>
      </c>
    </row>
    <row r="24">
      <c r="A24" s="5" t="s">
        <v>30</v>
      </c>
      <c r="B24" s="9">
        <v>1</v>
      </c>
      <c r="C24" s="7">
        <v>0.8</v>
      </c>
      <c r="D24" s="9">
        <v>0.8</v>
      </c>
    </row>
    <row r="25">
      <c r="A25" s="5" t="s">
        <v>35</v>
      </c>
      <c r="D25">
        <f>AVERAGE(D19:D23)</f>
      </c>
    </row>
    <row r="26"/>
    <row r="27">
      <c r="A27" s="5" t="s">
        <v>36</v>
      </c>
      <c r="B27" s="5" t="s">
        <v>37</v>
      </c>
    </row>
    <row r="28">
      <c r="A28" t="s">
        <v>21</v>
      </c>
      <c r="B28" t="s">
        <v>22</v>
      </c>
      <c r="C28" t="s">
        <v>23</v>
      </c>
      <c r="D28" t="s">
        <v>24</v>
      </c>
    </row>
    <row r="29">
      <c r="A29" s="5" t="s">
        <v>25</v>
      </c>
      <c r="B29" s="8">
        <v>1</v>
      </c>
      <c r="C29" s="7">
        <v>0.9</v>
      </c>
      <c r="D29" s="6">
        <f t="shared" ref="D29:D33" si="2">C29/B29</f>
      </c>
    </row>
    <row r="30">
      <c r="A30" s="5" t="s">
        <v>34</v>
      </c>
      <c r="B30" s="8">
        <v>1</v>
      </c>
      <c r="C30" s="8">
        <v>0.8</v>
      </c>
      <c r="D30" s="6">
        <f t="shared" si="2"/>
      </c>
    </row>
    <row r="31">
      <c r="A31" s="5" t="s">
        <v>27</v>
      </c>
      <c r="B31" s="8">
        <v>1</v>
      </c>
      <c r="C31" s="8">
        <v>0.8</v>
      </c>
      <c r="D31" s="6">
        <f t="shared" si="2"/>
      </c>
    </row>
    <row r="32">
      <c r="A32" s="5" t="s">
        <v>28</v>
      </c>
      <c r="B32" s="8">
        <v>1</v>
      </c>
      <c r="C32" s="8">
        <v>0.6</v>
      </c>
      <c r="D32" s="6">
        <f t="shared" si="2"/>
      </c>
    </row>
    <row r="33">
      <c r="A33" s="5" t="s">
        <v>29</v>
      </c>
      <c r="B33" s="8">
        <v>1</v>
      </c>
      <c r="C33" s="8">
        <v>0.9</v>
      </c>
      <c r="D33" s="6">
        <f t="shared" si="2"/>
      </c>
    </row>
    <row r="34">
      <c r="A34" s="5" t="s">
        <v>30</v>
      </c>
      <c r="B34" s="8">
        <v>1</v>
      </c>
      <c r="C34" s="8">
        <v>0.9</v>
      </c>
    </row>
    <row r="35">
      <c r="A35" s="10" t="s">
        <v>38</v>
      </c>
      <c r="D35">
        <f>AVERAGE(D29:D33)</f>
      </c>
    </row>
    <row r="36"/>
    <row r="37"/>
    <row r="38">
      <c r="A38" s="5" t="s">
        <v>39</v>
      </c>
      <c r="D38">
        <f>AVERAGE(D14,D25,D35)</f>
      </c>
    </row>
  </sheetData>
  <conditionalFormatting sqref="D7:D12 D14:D14 D19:D23 D25:D25 D29:D33 D35:D35 D38:D38">
    <cfRule dxfId="0" operator="greaterThanOrEqual" priority="2" stopIfTrue="true" type="cellIs">
      <formula>0.9</formula>
    </cfRule>
  </conditionalFormatting>
  <conditionalFormatting sqref="D7:D12 D14:D14 D19:D23 D25:D25 D29:D33 D35:D35 D38:D38">
    <cfRule dxfId="1" operator="greaterThanOrEqual" priority="3" stopIfTrue="true" type="cellIs">
      <formula>0.8</formula>
    </cfRule>
  </conditionalFormatting>
  <conditionalFormatting sqref="D7:D12 D14:D14 D19:D23 D25:D25 D29:D33 D35:D35 D38:D38">
    <cfRule dxfId="2" operator="lessThan" priority="4" stopIfTrue="true" type="cellIs">
      <formula>0.8</formula>
    </cfRule>
  </conditionalFormatting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9"/>
    <col collapsed="false" customWidth="true" hidden="false" max="2" min="2" style="0" width="10"/>
    <col collapsed="false" customWidth="true" hidden="false" max="3" min="3" style="0" width="13"/>
  </cols>
  <sheetData>
    <row r="1">
      <c r="A1" s="11" t="s">
        <v>40</v>
      </c>
      <c r="B1" s="11" t="s">
        <v>41</v>
      </c>
    </row>
    <row r="2">
      <c r="A2" t="s">
        <v>42</v>
      </c>
      <c r="B2" s="11" t="s">
        <v>43</v>
      </c>
      <c r="C2" s="11"/>
    </row>
    <row r="3">
      <c r="A3" t="s">
        <v>44</v>
      </c>
      <c r="B3" s="11" t="s">
        <v>45</v>
      </c>
    </row>
    <row r="4"/>
    <row r="5"/>
    <row r="6">
      <c r="A6" t="s">
        <v>46</v>
      </c>
      <c r="B6" t="s">
        <v>47</v>
      </c>
      <c r="C6" t="s">
        <v>48</v>
      </c>
      <c r="D6" t="s">
        <v>49</v>
      </c>
    </row>
    <row r="7">
      <c r="A7" s="11" t="s">
        <v>50</v>
      </c>
      <c r="B7" s="12">
        <v>1</v>
      </c>
      <c r="C7" s="13">
        <v>0.6</v>
      </c>
      <c r="D7" s="12">
        <f t="shared" ref="D7:D12" si="0">C7/B7</f>
      </c>
      <c r="F7" s="11" t="s">
        <v>51</v>
      </c>
    </row>
    <row r="8">
      <c r="A8" s="11" t="s">
        <v>52</v>
      </c>
      <c r="B8" s="12">
        <v>1</v>
      </c>
      <c r="C8" s="13">
        <v>0.9</v>
      </c>
      <c r="D8" s="12">
        <f t="shared" si="0"/>
      </c>
    </row>
    <row r="9">
      <c r="A9" s="11" t="s">
        <v>53</v>
      </c>
      <c r="B9" s="12">
        <v>1</v>
      </c>
      <c r="C9" s="13">
        <v>0.8</v>
      </c>
      <c r="D9" s="12">
        <f t="shared" si="0"/>
      </c>
    </row>
    <row r="10">
      <c r="A10" s="11" t="s">
        <v>54</v>
      </c>
      <c r="B10" s="12">
        <v>1</v>
      </c>
      <c r="C10" s="13">
        <v>0.35</v>
      </c>
      <c r="D10" s="12">
        <f t="shared" si="0"/>
      </c>
      <c r="F10" s="11" t="s">
        <v>55</v>
      </c>
    </row>
    <row r="11">
      <c r="A11" s="11" t="s">
        <v>56</v>
      </c>
      <c r="B11" s="12">
        <v>1</v>
      </c>
      <c r="C11" s="13">
        <v>0.5</v>
      </c>
      <c r="D11" s="12">
        <f t="shared" si="0"/>
      </c>
    </row>
    <row r="12">
      <c r="A12" s="11" t="s">
        <v>57</v>
      </c>
      <c r="B12" s="12">
        <v>1</v>
      </c>
      <c r="C12" s="14">
        <v>0.85</v>
      </c>
      <c r="D12" s="12">
        <f t="shared" si="0"/>
      </c>
    </row>
    <row r="13"/>
    <row r="14">
      <c r="A14" t="s">
        <v>58</v>
      </c>
      <c r="D14">
        <f>AVERAGE(D7:D12)</f>
      </c>
    </row>
  </sheetData>
  <conditionalFormatting sqref="D7:D12 D14:D14">
    <cfRule dxfId="3" operator="greaterThanOrEqual" priority="2" stopIfTrue="true" type="cellIs">
      <formula>0.9</formula>
    </cfRule>
  </conditionalFormatting>
  <conditionalFormatting sqref="D7:D12 D14:D14">
    <cfRule dxfId="4" operator="greaterThanOrEqual" priority="3" stopIfTrue="true" type="cellIs">
      <formula>0.8</formula>
    </cfRule>
  </conditionalFormatting>
  <conditionalFormatting sqref="D7:D12 D14:D14">
    <cfRule dxfId="5" operator="lessThan" priority="4" stopIfTrue="true" type="cellIs">
      <formula>0.8</formula>
    </cfRule>
  </conditionalFormatting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3" min="3" style="0" width="10"/>
    <col collapsed="false" customWidth="true" hidden="false" max="4" min="4" style="0" width="12"/>
    <col collapsed="false" customWidth="true" hidden="false" max="1" min="1" style="0" width="27"/>
  </cols>
  <sheetData>
    <row r="1">
      <c r="A1" t="s">
        <v>59</v>
      </c>
      <c r="B1" t="s">
        <v>60</v>
      </c>
    </row>
    <row r="2">
      <c r="A2" t="s">
        <v>61</v>
      </c>
      <c r="B2" s="15" t="s">
        <v>62</v>
      </c>
    </row>
    <row r="3">
      <c r="A3" t="s">
        <v>63</v>
      </c>
      <c r="B3" s="15" t="s">
        <v>64</v>
      </c>
    </row>
    <row r="4">
      <c r="A4" t="s">
        <v>65</v>
      </c>
    </row>
    <row r="5"/>
    <row r="6">
      <c r="A6" t="s">
        <v>66</v>
      </c>
      <c r="B6" t="s">
        <v>67</v>
      </c>
      <c r="C6" t="s">
        <v>68</v>
      </c>
      <c r="D6" t="s">
        <v>69</v>
      </c>
    </row>
    <row r="7">
      <c r="A7" s="15" t="s">
        <v>70</v>
      </c>
      <c r="B7" s="16">
        <v>1</v>
      </c>
      <c r="C7" s="17">
        <v>0.7</v>
      </c>
      <c r="D7" s="16">
        <f t="shared" ref="D7:D12" si="0">C7/B7</f>
      </c>
    </row>
    <row r="8">
      <c r="A8" s="15" t="s">
        <v>71</v>
      </c>
      <c r="B8" s="16">
        <v>1</v>
      </c>
      <c r="C8" s="17">
        <v>0.9</v>
      </c>
      <c r="D8" s="16">
        <f t="shared" si="0"/>
      </c>
    </row>
    <row r="9">
      <c r="A9" s="15" t="s">
        <v>72</v>
      </c>
      <c r="B9" s="16">
        <v>1</v>
      </c>
      <c r="C9" s="17">
        <v>0.9</v>
      </c>
      <c r="D9" s="16">
        <f t="shared" si="0"/>
      </c>
    </row>
    <row r="10">
      <c r="A10" s="15" t="s">
        <v>73</v>
      </c>
      <c r="B10" s="16">
        <v>1</v>
      </c>
      <c r="C10" s="17">
        <v>0.5</v>
      </c>
      <c r="D10" s="16">
        <f t="shared" si="0"/>
      </c>
    </row>
    <row r="11">
      <c r="A11" s="15" t="s">
        <v>74</v>
      </c>
      <c r="B11" s="16">
        <v>1</v>
      </c>
      <c r="C11" s="17">
        <v>0.9</v>
      </c>
      <c r="D11" s="16">
        <f t="shared" si="0"/>
      </c>
    </row>
    <row r="12">
      <c r="A12" s="18" t="s">
        <v>75</v>
      </c>
      <c r="B12" s="16">
        <v>1</v>
      </c>
      <c r="C12" s="17">
        <v>0.8</v>
      </c>
      <c r="D12" s="16">
        <f t="shared" si="0"/>
      </c>
    </row>
    <row r="13">
      <c r="A13" s="15" t="s">
        <v>76</v>
      </c>
      <c r="B13" s="16"/>
      <c r="C13" s="16"/>
      <c r="D13" s="16">
        <f>AVERAGE(D7:D12)</f>
      </c>
    </row>
    <row r="14"/>
    <row r="15"/>
    <row r="16"/>
    <row r="17">
      <c r="A17" t="s">
        <v>66</v>
      </c>
      <c r="B17" t="s">
        <v>67</v>
      </c>
      <c r="C17" t="s">
        <v>68</v>
      </c>
      <c r="D17" t="s">
        <v>69</v>
      </c>
    </row>
    <row r="18">
      <c r="A18" s="15" t="s">
        <v>70</v>
      </c>
      <c r="B18" s="16">
        <v>1</v>
      </c>
      <c r="C18" s="17">
        <v>0.9</v>
      </c>
      <c r="D18" s="16">
        <f t="shared" ref="D18:D23" si="1">C18/B18</f>
      </c>
    </row>
    <row r="19">
      <c r="A19" s="15" t="s">
        <v>71</v>
      </c>
      <c r="B19" s="16">
        <v>1</v>
      </c>
      <c r="C19" s="17">
        <v>0.9</v>
      </c>
      <c r="D19" s="16">
        <f t="shared" si="1"/>
      </c>
    </row>
    <row r="20">
      <c r="A20" s="15" t="s">
        <v>72</v>
      </c>
      <c r="B20" s="16">
        <v>1</v>
      </c>
      <c r="C20" s="17">
        <v>0.5</v>
      </c>
      <c r="D20" s="16">
        <f t="shared" si="1"/>
      </c>
    </row>
    <row r="21">
      <c r="A21" s="15" t="s">
        <v>73</v>
      </c>
      <c r="B21" s="16">
        <v>1</v>
      </c>
      <c r="C21" s="17">
        <v>0.5</v>
      </c>
      <c r="D21" s="16">
        <f t="shared" si="1"/>
      </c>
    </row>
    <row r="22">
      <c r="A22" s="15" t="s">
        <v>74</v>
      </c>
      <c r="B22" s="16">
        <v>1</v>
      </c>
      <c r="C22" s="17">
        <v>0.9</v>
      </c>
      <c r="D22" s="16">
        <f t="shared" si="1"/>
      </c>
    </row>
    <row r="23">
      <c r="A23" s="15" t="s">
        <v>77</v>
      </c>
      <c r="B23" s="16">
        <v>1</v>
      </c>
      <c r="C23" s="17">
        <v>0.8</v>
      </c>
      <c r="D23" s="19">
        <f t="shared" si="1"/>
      </c>
    </row>
    <row r="24">
      <c r="A24" s="15" t="s">
        <v>78</v>
      </c>
      <c r="B24" s="16"/>
      <c r="C24" s="16"/>
      <c r="D24" s="16">
        <f>AVERAGE(D18:D23)</f>
      </c>
    </row>
    <row r="25"/>
    <row r="26"/>
    <row r="27">
      <c r="A27" t="s">
        <v>79</v>
      </c>
      <c r="B27" s="16"/>
      <c r="C27" s="16"/>
      <c r="D27" s="16">
        <f>AVERAGE(D13,D24)</f>
      </c>
    </row>
  </sheetData>
  <conditionalFormatting sqref="A27:C27 D7:D12 D13:D13 D18:D22 D24:D24 D27:D27">
    <cfRule dxfId="6" operator="greaterThanOrEqual" priority="2" stopIfTrue="true" type="cellIs">
      <formula>0.9</formula>
    </cfRule>
  </conditionalFormatting>
  <conditionalFormatting sqref="A27:C27 D7:D12 D13:D13 D18:D22 D24:D24 D27:D27">
    <cfRule dxfId="7" operator="greaterThanOrEqual" priority="3" stopIfTrue="true" type="cellIs">
      <formula>0.8</formula>
    </cfRule>
  </conditionalFormatting>
  <conditionalFormatting sqref="A27:C27 D7:D12 D13:D13 D18:D22 D24:D24 D27:D27">
    <cfRule dxfId="8" operator="lessThan" priority="4" stopIfTrue="true" type="cellIs">
      <formula>0.8</formula>
    </cfRule>
  </conditionalFormatting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3" min="3" style="0" width="10"/>
    <col collapsed="false" customWidth="true" hidden="false" max="4" min="4" style="0" width="12"/>
    <col collapsed="false" customWidth="true" hidden="false" max="1" min="1" style="0" width="27"/>
    <col collapsed="false" customWidth="true" hidden="false" max="2" min="2" style="0" width="14"/>
  </cols>
  <sheetData>
    <row r="1">
      <c r="A1" t="s">
        <v>80</v>
      </c>
      <c r="B1" s="20" t="s">
        <v>81</v>
      </c>
    </row>
    <row r="2">
      <c r="A2" s="20" t="s">
        <v>82</v>
      </c>
      <c r="B2" s="20" t="s">
        <v>83</v>
      </c>
    </row>
    <row r="3">
      <c r="A3" t="s">
        <v>82</v>
      </c>
      <c r="B3" s="20" t="s">
        <v>84</v>
      </c>
    </row>
    <row r="4">
      <c r="A4" t="s">
        <v>85</v>
      </c>
      <c r="B4" s="20" t="s">
        <v>86</v>
      </c>
    </row>
    <row r="5"/>
    <row r="6">
      <c r="A6" t="s">
        <v>87</v>
      </c>
      <c r="B6" t="s">
        <v>88</v>
      </c>
      <c r="C6" t="s">
        <v>89</v>
      </c>
      <c r="D6" t="s">
        <v>90</v>
      </c>
    </row>
    <row r="7">
      <c r="A7" s="20" t="s">
        <v>91</v>
      </c>
      <c r="B7" s="21">
        <v>0.9</v>
      </c>
      <c r="C7" s="22">
        <v>0.85</v>
      </c>
      <c r="D7" s="23">
        <f t="shared" ref="D7:D12" si="0">C7/B7</f>
      </c>
    </row>
    <row r="8">
      <c r="A8" s="20" t="s">
        <v>92</v>
      </c>
      <c r="B8" s="23">
        <v>1</v>
      </c>
      <c r="C8" s="21">
        <v>1</v>
      </c>
      <c r="D8" s="23">
        <f t="shared" si="0"/>
      </c>
    </row>
    <row r="9">
      <c r="A9" s="20" t="s">
        <v>93</v>
      </c>
      <c r="B9" s="23">
        <v>0.95</v>
      </c>
      <c r="C9" s="21">
        <v>0.95</v>
      </c>
      <c r="D9" s="23">
        <f t="shared" si="0"/>
      </c>
    </row>
    <row r="10">
      <c r="A10" s="20" t="s">
        <v>94</v>
      </c>
      <c r="B10" s="23">
        <v>0.7</v>
      </c>
      <c r="C10" s="21">
        <v>0.65</v>
      </c>
      <c r="D10" s="23">
        <f t="shared" si="0"/>
      </c>
    </row>
    <row r="11">
      <c r="A11" s="20" t="s">
        <v>95</v>
      </c>
      <c r="B11" s="21">
        <v>0.3</v>
      </c>
      <c r="C11" s="21">
        <v>0.25</v>
      </c>
      <c r="D11" s="23">
        <f t="shared" si="0"/>
      </c>
    </row>
    <row r="12">
      <c r="A12" s="20" t="s">
        <v>96</v>
      </c>
      <c r="B12" s="23">
        <v>1</v>
      </c>
      <c r="C12" s="21">
        <v>0.8</v>
      </c>
      <c r="D12" s="23">
        <f t="shared" si="0"/>
      </c>
    </row>
    <row r="13">
      <c r="B13" s="23"/>
      <c r="C13" s="23"/>
      <c r="D13" s="23"/>
    </row>
    <row r="14">
      <c r="A14" s="20" t="s">
        <v>97</v>
      </c>
      <c r="B14" s="23"/>
      <c r="C14" s="23"/>
      <c r="D14" s="23">
        <f>AVERAGE(D7:D12)</f>
      </c>
    </row>
    <row r="15"/>
    <row r="16"/>
    <row r="17">
      <c r="A17" t="s">
        <v>87</v>
      </c>
      <c r="B17" t="s">
        <v>88</v>
      </c>
      <c r="C17" t="s">
        <v>89</v>
      </c>
      <c r="D17" t="s">
        <v>90</v>
      </c>
    </row>
    <row r="18">
      <c r="A18" s="20" t="s">
        <v>91</v>
      </c>
      <c r="B18" s="23">
        <v>0.9</v>
      </c>
      <c r="C18" s="22">
        <v>0.85</v>
      </c>
      <c r="D18" s="23">
        <f t="shared" ref="D18:D23" si="1">C18/B18</f>
      </c>
    </row>
    <row r="19">
      <c r="A19" s="20" t="s">
        <v>92</v>
      </c>
      <c r="B19" s="23">
        <v>0.95</v>
      </c>
      <c r="C19" s="21">
        <v>0.95</v>
      </c>
      <c r="D19" s="23">
        <f t="shared" si="1"/>
      </c>
    </row>
    <row r="20">
      <c r="A20" s="20" t="s">
        <v>93</v>
      </c>
      <c r="B20" s="23">
        <v>0.7</v>
      </c>
      <c r="C20" s="21">
        <v>0.6</v>
      </c>
      <c r="D20" s="23">
        <f t="shared" si="1"/>
      </c>
    </row>
    <row r="21">
      <c r="A21" s="20" t="s">
        <v>94</v>
      </c>
      <c r="B21" s="23">
        <v>1</v>
      </c>
      <c r="C21" s="21">
        <v>0.6</v>
      </c>
      <c r="D21" s="23">
        <f t="shared" si="1"/>
      </c>
    </row>
    <row r="22">
      <c r="A22" s="20" t="s">
        <v>95</v>
      </c>
      <c r="B22" s="23">
        <v>1</v>
      </c>
      <c r="C22" s="21">
        <v>0.8</v>
      </c>
      <c r="D22" s="23">
        <f t="shared" si="1"/>
      </c>
    </row>
    <row r="23">
      <c r="A23" s="20" t="s">
        <v>98</v>
      </c>
      <c r="B23" s="23">
        <v>1</v>
      </c>
      <c r="C23" s="21">
        <v>0.8</v>
      </c>
      <c r="D23" s="23">
        <f t="shared" si="1"/>
      </c>
    </row>
    <row customHeight="true" ht="18" r="24">
      <c r="A24" s="20"/>
    </row>
    <row r="25">
      <c r="A25" s="20" t="s">
        <v>99</v>
      </c>
      <c r="B25" s="23"/>
      <c r="C25" s="23"/>
      <c r="D25" s="23">
        <f>AVERAGE(D18:D22)</f>
      </c>
    </row>
    <row r="26"/>
    <row r="27"/>
    <row r="28">
      <c r="A28" s="20" t="s">
        <v>100</v>
      </c>
      <c r="B28" s="23"/>
      <c r="C28" s="23"/>
      <c r="D28" s="23">
        <f>AVERAGE(D14,D25)</f>
      </c>
    </row>
  </sheetData>
  <conditionalFormatting sqref="A28:C28 D7:D12 D14:D14 D18:D22 D23:D23 D25:D25 D28:D28">
    <cfRule dxfId="9" operator="greaterThanOrEqual" priority="2" stopIfTrue="true" type="cellIs">
      <formula>0.9</formula>
    </cfRule>
  </conditionalFormatting>
  <conditionalFormatting sqref="A28:C28 D7:D12 D14:D14 D18:D22 D23:D23 D25:D25 D28:D28">
    <cfRule dxfId="10" operator="greaterThanOrEqual" priority="3" stopIfTrue="true" type="cellIs">
      <formula>0.8</formula>
    </cfRule>
  </conditionalFormatting>
  <conditionalFormatting sqref="A28:C28 D7:D12 D14:D14 D18:D22 D23:D23 D25:D25 D28:D28">
    <cfRule dxfId="11" operator="lessThan" priority="4" stopIfTrue="true" type="cellIs">
      <formula>0.8</formula>
    </cfRule>
  </conditionalFormatting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7"/>
    <col collapsed="false" customWidth="true" hidden="false" max="3" min="3" style="0" width="10"/>
    <col collapsed="false" customWidth="true" hidden="false" max="4" min="4" style="0" width="12"/>
  </cols>
  <sheetData>
    <row r="1">
      <c r="A1" t="s">
        <v>101</v>
      </c>
      <c r="B1" s="24" t="s">
        <v>102</v>
      </c>
    </row>
    <row r="2">
      <c r="A2" s="24" t="s">
        <v>103</v>
      </c>
      <c r="B2" s="24" t="s">
        <v>104</v>
      </c>
    </row>
    <row r="3">
      <c r="A3" t="s">
        <v>105</v>
      </c>
      <c r="B3" s="24" t="s">
        <v>106</v>
      </c>
    </row>
    <row r="4"/>
    <row r="5">
      <c r="A5" t="s">
        <v>107</v>
      </c>
      <c r="B5" t="s">
        <v>108</v>
      </c>
      <c r="C5" t="s">
        <v>109</v>
      </c>
      <c r="D5" t="s">
        <v>110</v>
      </c>
    </row>
    <row r="6">
      <c r="A6" s="24" t="s">
        <v>111</v>
      </c>
      <c r="B6" s="25">
        <v>0.9</v>
      </c>
      <c r="C6" s="25">
        <v>0.8</v>
      </c>
      <c r="D6" s="26">
        <f t="shared" ref="D6:D11" si="0">C6/B6</f>
      </c>
    </row>
    <row r="7">
      <c r="A7" s="24" t="s">
        <v>112</v>
      </c>
      <c r="B7" s="26">
        <v>1</v>
      </c>
      <c r="C7" s="25">
        <v>1</v>
      </c>
      <c r="D7" s="26">
        <f t="shared" si="0"/>
      </c>
    </row>
    <row r="8">
      <c r="A8" s="24" t="s">
        <v>113</v>
      </c>
      <c r="B8" s="26">
        <v>0.95</v>
      </c>
      <c r="C8" s="25">
        <v>0.95</v>
      </c>
      <c r="D8" s="26">
        <f t="shared" si="0"/>
      </c>
    </row>
    <row r="9">
      <c r="A9" s="24" t="s">
        <v>114</v>
      </c>
      <c r="B9" s="26">
        <v>0.7</v>
      </c>
      <c r="C9" s="27">
        <v>0.2</v>
      </c>
      <c r="D9" s="26">
        <f t="shared" si="0"/>
      </c>
    </row>
    <row r="10">
      <c r="A10" s="24" t="s">
        <v>115</v>
      </c>
      <c r="B10" s="25">
        <v>0.3</v>
      </c>
      <c r="C10" s="25">
        <v>0.2</v>
      </c>
      <c r="D10" s="26">
        <f t="shared" si="0"/>
      </c>
    </row>
    <row r="11">
      <c r="A11" s="24" t="s">
        <v>116</v>
      </c>
      <c r="B11" s="26">
        <v>1</v>
      </c>
      <c r="C11" s="25">
        <v>0.7</v>
      </c>
      <c r="D11" s="26">
        <f t="shared" si="0"/>
      </c>
    </row>
    <row r="12">
      <c r="B12" s="26"/>
      <c r="C12" s="26"/>
      <c r="D12" s="26"/>
    </row>
    <row r="13">
      <c r="A13" s="24" t="s">
        <v>117</v>
      </c>
      <c r="B13" s="26"/>
      <c r="C13" s="26"/>
      <c r="D13" s="26">
        <f>AVERAGE(D6:D11)</f>
      </c>
    </row>
  </sheetData>
  <conditionalFormatting sqref="D6:D11 D13:D13">
    <cfRule dxfId="12" operator="greaterThanOrEqual" priority="2" stopIfTrue="true" type="cellIs">
      <formula>0.9</formula>
    </cfRule>
  </conditionalFormatting>
  <conditionalFormatting sqref="D6:D11 D13:D13">
    <cfRule dxfId="13" operator="greaterThanOrEqual" priority="3" stopIfTrue="true" type="cellIs">
      <formula>0.8</formula>
    </cfRule>
  </conditionalFormatting>
  <conditionalFormatting sqref="D6:D11 D13:D13">
    <cfRule dxfId="14" operator="lessThan" priority="4" stopIfTrue="true" type="cellIs">
      <formula>0.8</formula>
    </cfRule>
  </conditionalFormatting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7"/>
    <col collapsed="false" customWidth="true" hidden="false" max="3" min="3" style="0" width="10"/>
    <col collapsed="false" customWidth="true" hidden="false" max="4" min="4" style="0" width="12"/>
  </cols>
  <sheetData>
    <row r="1">
      <c r="A1" t="s">
        <v>118</v>
      </c>
      <c r="B1" s="28" t="s">
        <v>119</v>
      </c>
    </row>
    <row r="2">
      <c r="A2" s="28" t="s">
        <v>120</v>
      </c>
      <c r="B2" s="28" t="s">
        <v>121</v>
      </c>
    </row>
    <row r="3">
      <c r="A3" t="s">
        <v>122</v>
      </c>
      <c r="B3" s="28" t="s">
        <v>123</v>
      </c>
    </row>
    <row r="4"/>
    <row r="5">
      <c r="A5" t="s">
        <v>124</v>
      </c>
      <c r="B5" t="s">
        <v>125</v>
      </c>
      <c r="C5" t="s">
        <v>126</v>
      </c>
      <c r="D5" t="s">
        <v>127</v>
      </c>
    </row>
    <row r="6">
      <c r="A6" s="28" t="s">
        <v>128</v>
      </c>
      <c r="B6" s="29">
        <v>0.9</v>
      </c>
      <c r="C6" s="29">
        <v>0.8</v>
      </c>
      <c r="D6" s="30">
        <f t="shared" ref="D6:D11" si="0">C6/B6</f>
      </c>
    </row>
    <row r="7">
      <c r="A7" s="28" t="s">
        <v>129</v>
      </c>
      <c r="B7" s="30">
        <v>1</v>
      </c>
      <c r="C7" s="30">
        <v>1</v>
      </c>
      <c r="D7" s="30">
        <f t="shared" si="0"/>
      </c>
    </row>
    <row r="8">
      <c r="A8" s="28" t="s">
        <v>130</v>
      </c>
      <c r="B8" s="30">
        <v>0.95</v>
      </c>
      <c r="C8" s="29">
        <v>0.7</v>
      </c>
      <c r="D8" s="30">
        <f t="shared" si="0"/>
      </c>
    </row>
    <row r="9">
      <c r="A9" s="28" t="s">
        <v>131</v>
      </c>
      <c r="B9" s="30">
        <v>0.7</v>
      </c>
      <c r="C9" s="31">
        <v>0.2</v>
      </c>
      <c r="D9" s="30">
        <f t="shared" si="0"/>
      </c>
    </row>
    <row r="10">
      <c r="A10" s="28" t="s">
        <v>132</v>
      </c>
      <c r="B10" s="29">
        <v>0.3</v>
      </c>
      <c r="C10" s="29">
        <v>0.2</v>
      </c>
      <c r="D10" s="30">
        <f t="shared" si="0"/>
      </c>
    </row>
    <row r="11">
      <c r="A11" s="28" t="s">
        <v>133</v>
      </c>
      <c r="B11" s="30">
        <v>1</v>
      </c>
      <c r="C11" s="29">
        <v>0.7</v>
      </c>
      <c r="D11" s="30">
        <f t="shared" si="0"/>
      </c>
    </row>
    <row r="12">
      <c r="B12" s="30"/>
      <c r="C12" s="30"/>
      <c r="D12" s="30"/>
    </row>
    <row r="13">
      <c r="A13" s="28" t="s">
        <v>134</v>
      </c>
      <c r="B13" s="30"/>
      <c r="C13" s="30"/>
      <c r="D13" s="30">
        <f>AVERAGE(D6:D11)</f>
      </c>
    </row>
  </sheetData>
  <conditionalFormatting sqref="D6:D11 D13:D13">
    <cfRule dxfId="15" operator="greaterThanOrEqual" priority="2" stopIfTrue="true" type="cellIs">
      <formula>0.9</formula>
    </cfRule>
  </conditionalFormatting>
  <conditionalFormatting sqref="D6:D11 D13:D13">
    <cfRule dxfId="16" operator="greaterThanOrEqual" priority="3" stopIfTrue="true" type="cellIs">
      <formula>0.8</formula>
    </cfRule>
  </conditionalFormatting>
  <conditionalFormatting sqref="D6:D11 D13:D13">
    <cfRule dxfId="17" operator="lessThan" priority="4" stopIfTrue="true" type="cellIs">
      <formula>0.8</formula>
    </cfRule>
  </conditionalFormatting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7"/>
    <col collapsed="false" customWidth="true" hidden="false" max="2" min="2" style="0" width="15"/>
    <col collapsed="false" customWidth="true" hidden="false" max="3" min="3" style="0" width="10"/>
    <col collapsed="false" customWidth="true" hidden="false" max="4" min="4" style="0" width="12"/>
  </cols>
  <sheetData>
    <row r="1">
      <c r="A1" t="s">
        <v>135</v>
      </c>
      <c r="B1" s="32" t="s">
        <v>136</v>
      </c>
    </row>
    <row r="2">
      <c r="A2" t="s">
        <v>137</v>
      </c>
      <c r="B2" s="32" t="s">
        <v>138</v>
      </c>
    </row>
    <row r="3">
      <c r="A3" t="s">
        <v>139</v>
      </c>
      <c r="B3" s="32" t="s">
        <v>140</v>
      </c>
    </row>
    <row r="4"/>
    <row r="5"/>
    <row r="6">
      <c r="A6" t="s">
        <v>141</v>
      </c>
      <c r="B6" t="s">
        <v>142</v>
      </c>
      <c r="C6" t="s">
        <v>143</v>
      </c>
      <c r="D6" t="s">
        <v>144</v>
      </c>
    </row>
    <row r="7">
      <c r="A7" s="32" t="s">
        <v>145</v>
      </c>
      <c r="B7" s="33">
        <v>0.9</v>
      </c>
      <c r="C7" s="33">
        <v>0.8</v>
      </c>
      <c r="D7" s="34">
        <f t="shared" ref="D7:D12" si="0">C7/B7</f>
      </c>
    </row>
    <row r="8">
      <c r="A8" s="32" t="s">
        <v>146</v>
      </c>
      <c r="B8" s="34">
        <v>1</v>
      </c>
      <c r="C8" s="34">
        <v>1</v>
      </c>
      <c r="D8" s="34">
        <f t="shared" si="0"/>
      </c>
    </row>
    <row r="9">
      <c r="A9" s="32" t="s">
        <v>147</v>
      </c>
      <c r="B9" s="34">
        <v>0.95</v>
      </c>
      <c r="C9" s="33">
        <v>0.8</v>
      </c>
      <c r="D9" s="34">
        <f t="shared" si="0"/>
      </c>
    </row>
    <row r="10">
      <c r="A10" s="32" t="s">
        <v>148</v>
      </c>
      <c r="B10" s="34">
        <v>0.7</v>
      </c>
      <c r="C10" s="35">
        <v>0.65</v>
      </c>
      <c r="D10" s="34">
        <f t="shared" si="0"/>
      </c>
    </row>
    <row r="11">
      <c r="A11" s="32" t="s">
        <v>149</v>
      </c>
      <c r="B11" s="33">
        <v>0.3</v>
      </c>
      <c r="C11" s="33">
        <v>0.25</v>
      </c>
      <c r="D11" s="34">
        <f t="shared" si="0"/>
      </c>
    </row>
    <row r="12">
      <c r="A12" s="32" t="s">
        <v>150</v>
      </c>
      <c r="B12" s="34">
        <v>1</v>
      </c>
      <c r="C12" s="33">
        <v>0.8</v>
      </c>
      <c r="D12" s="34">
        <f t="shared" si="0"/>
      </c>
    </row>
    <row r="13">
      <c r="B13" s="34"/>
      <c r="C13" s="34"/>
      <c r="D13" s="34"/>
    </row>
    <row r="14">
      <c r="A14" s="32" t="s">
        <v>151</v>
      </c>
      <c r="B14" s="34"/>
      <c r="C14" s="34"/>
      <c r="D14" s="34">
        <f>AVERAGE(D7:D12)</f>
      </c>
    </row>
  </sheetData>
  <conditionalFormatting sqref="D7:D12 D14:D14">
    <cfRule dxfId="18" operator="greaterThanOrEqual" priority="2" stopIfTrue="true" type="cellIs">
      <formula>0.9</formula>
    </cfRule>
  </conditionalFormatting>
  <conditionalFormatting sqref="D7:D12 D14:D14">
    <cfRule dxfId="19" operator="greaterThanOrEqual" priority="3" stopIfTrue="true" type="cellIs">
      <formula>0.8</formula>
    </cfRule>
  </conditionalFormatting>
  <conditionalFormatting sqref="D7:D12 D14:D14">
    <cfRule dxfId="20" operator="lessThan" priority="4" stopIfTrue="true" type="cellIs">
      <formula>0.8</formula>
    </cfRule>
  </conditionalFormatting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18"/>
  <cols>
    <col collapsed="false" customWidth="true" hidden="false" max="1" min="1" style="0" width="29"/>
    <col collapsed="false" customWidth="true" hidden="false" max="2" min="2" style="0" width="14"/>
    <col collapsed="false" customWidth="true" hidden="false" max="3" min="3" style="0" width="10"/>
    <col collapsed="false" customWidth="true" hidden="false" max="4" min="4" style="0" width="12"/>
  </cols>
  <sheetData>
    <row r="1">
      <c r="A1" t="s">
        <v>152</v>
      </c>
      <c r="B1" s="36" t="s">
        <v>153</v>
      </c>
      <c r="C1" s="37"/>
      <c r="D1" s="37"/>
    </row>
    <row r="2">
      <c r="A2" t="s">
        <v>154</v>
      </c>
      <c r="B2" s="38" t="s">
        <v>155</v>
      </c>
      <c r="C2" s="37"/>
      <c r="D2" s="37"/>
    </row>
    <row r="3">
      <c r="A3" t="s">
        <v>156</v>
      </c>
      <c r="B3" s="38" t="s">
        <v>157</v>
      </c>
      <c r="C3" s="37"/>
      <c r="D3" s="37"/>
    </row>
    <row r="4">
      <c r="A4" t="s">
        <v>158</v>
      </c>
      <c r="B4" s="38" t="s">
        <v>159</v>
      </c>
      <c r="C4" s="37"/>
      <c r="D4" s="37"/>
    </row>
    <row r="5">
      <c r="B5" s="37"/>
      <c r="C5" s="37"/>
      <c r="D5" s="37"/>
    </row>
    <row r="6">
      <c r="A6" t="s">
        <v>160</v>
      </c>
      <c r="B6" s="37" t="s">
        <v>161</v>
      </c>
      <c r="C6" s="37" t="s">
        <v>162</v>
      </c>
      <c r="D6" s="37" t="s">
        <v>163</v>
      </c>
    </row>
    <row r="7">
      <c r="A7" s="39" t="s">
        <v>164</v>
      </c>
      <c r="B7" s="40">
        <v>1</v>
      </c>
      <c r="C7" s="41">
        <v>0.2</v>
      </c>
      <c r="D7" s="40">
        <f t="shared" ref="D7:D12" si="0">C7/B7</f>
      </c>
    </row>
    <row r="8">
      <c r="A8" s="39" t="s">
        <v>165</v>
      </c>
      <c r="B8" s="40">
        <v>1</v>
      </c>
      <c r="C8" s="41">
        <v>0.5</v>
      </c>
      <c r="D8" s="40">
        <f t="shared" si="0"/>
      </c>
    </row>
    <row r="9">
      <c r="A9" s="39" t="s">
        <v>166</v>
      </c>
      <c r="B9" s="40">
        <v>1</v>
      </c>
      <c r="C9" s="41">
        <v>0.5</v>
      </c>
      <c r="D9" s="40">
        <f t="shared" si="0"/>
      </c>
    </row>
    <row r="10">
      <c r="A10" s="39" t="s">
        <v>167</v>
      </c>
      <c r="B10" s="40">
        <v>1</v>
      </c>
      <c r="C10" s="41">
        <v>0.7</v>
      </c>
      <c r="D10" s="40">
        <f t="shared" si="0"/>
      </c>
    </row>
    <row r="11">
      <c r="A11" s="39" t="s">
        <v>168</v>
      </c>
      <c r="B11" s="40">
        <v>1</v>
      </c>
      <c r="C11" s="41">
        <v>0.9</v>
      </c>
      <c r="D11" s="40">
        <f t="shared" si="0"/>
      </c>
    </row>
    <row r="12">
      <c r="A12" s="39" t="s">
        <v>169</v>
      </c>
      <c r="B12" s="40">
        <v>1</v>
      </c>
      <c r="C12" s="41">
        <v>0.8</v>
      </c>
      <c r="D12" s="40">
        <f t="shared" si="0"/>
      </c>
    </row>
    <row r="13">
      <c r="B13" s="40"/>
      <c r="C13" s="40"/>
      <c r="D13" s="40"/>
    </row>
    <row r="14">
      <c r="A14" s="39" t="s">
        <v>170</v>
      </c>
      <c r="B14" s="40"/>
      <c r="C14" s="40"/>
      <c r="D14" s="40">
        <f>AVERAGE(D7:D12)</f>
      </c>
    </row>
    <row r="15">
      <c r="B15" s="37"/>
      <c r="C15" s="37"/>
      <c r="D15" s="37"/>
    </row>
    <row r="16">
      <c r="B16" s="37"/>
      <c r="C16" s="37"/>
      <c r="D16" s="37"/>
    </row>
    <row r="17">
      <c r="B17" s="37"/>
      <c r="C17" s="37"/>
      <c r="D17" s="37"/>
    </row>
    <row r="18">
      <c r="B18" s="37"/>
      <c r="C18" s="37"/>
      <c r="D18" s="37"/>
    </row>
    <row r="19">
      <c r="B19" s="37"/>
      <c r="C19" s="37"/>
      <c r="D19" s="37"/>
    </row>
    <row r="20">
      <c r="B20" s="37"/>
      <c r="C20" s="37"/>
      <c r="D20" s="37"/>
    </row>
    <row r="21">
      <c r="B21" s="37"/>
      <c r="C21" s="37"/>
      <c r="D21" s="37"/>
    </row>
    <row r="22">
      <c r="B22" s="37"/>
      <c r="C22" s="37"/>
      <c r="D22" s="37"/>
    </row>
    <row r="23">
      <c r="B23" s="37"/>
      <c r="C23" s="37"/>
      <c r="D23" s="37"/>
    </row>
    <row r="24">
      <c r="B24" s="37"/>
      <c r="C24" s="37"/>
      <c r="D24" s="37"/>
    </row>
    <row r="25">
      <c r="B25" s="37"/>
      <c r="C25" s="37"/>
      <c r="D25" s="37"/>
    </row>
    <row r="26">
      <c r="B26" s="37"/>
      <c r="C26" s="37"/>
      <c r="D26" s="37"/>
    </row>
    <row r="27">
      <c r="B27" s="37"/>
      <c r="C27" s="37"/>
      <c r="D27" s="37"/>
    </row>
    <row r="28">
      <c r="B28" s="37"/>
      <c r="C28" s="37"/>
      <c r="D28" s="37"/>
    </row>
    <row r="29">
      <c r="B29" s="37"/>
      <c r="C29" s="37"/>
      <c r="D29" s="37"/>
    </row>
    <row r="30">
      <c r="B30" s="37"/>
      <c r="C30" s="37"/>
      <c r="D30" s="37"/>
    </row>
    <row r="31">
      <c r="B31" s="37"/>
      <c r="C31" s="37"/>
      <c r="D31" s="37"/>
    </row>
    <row r="32">
      <c r="B32" s="37"/>
      <c r="C32" s="37"/>
      <c r="D32" s="37"/>
    </row>
    <row r="33">
      <c r="B33" s="37"/>
      <c r="C33" s="37"/>
      <c r="D33" s="37"/>
    </row>
    <row r="34">
      <c r="B34" s="37"/>
      <c r="C34" s="37"/>
      <c r="D34" s="37"/>
    </row>
    <row r="35">
      <c r="B35" s="37"/>
      <c r="C35" s="37"/>
      <c r="D35" s="37"/>
    </row>
    <row r="36">
      <c r="B36" s="37"/>
      <c r="C36" s="37"/>
      <c r="D36" s="37"/>
    </row>
    <row r="37">
      <c r="B37" s="37"/>
      <c r="C37" s="37"/>
      <c r="D37" s="37"/>
    </row>
    <row r="38">
      <c r="B38" s="37"/>
      <c r="C38" s="37"/>
      <c r="D38" s="37"/>
    </row>
    <row r="39">
      <c r="B39" s="37"/>
      <c r="C39" s="37"/>
      <c r="D39" s="37"/>
    </row>
    <row r="40">
      <c r="B40" s="37"/>
      <c r="C40" s="37"/>
      <c r="D40" s="37"/>
    </row>
    <row r="41">
      <c r="B41" s="37"/>
      <c r="C41" s="37"/>
      <c r="D41" s="37"/>
    </row>
    <row r="42">
      <c r="B42" s="37"/>
      <c r="C42" s="37"/>
      <c r="D42" s="37"/>
    </row>
    <row r="43">
      <c r="B43" s="37"/>
      <c r="C43" s="37"/>
      <c r="D43" s="37"/>
    </row>
    <row r="44">
      <c r="B44" s="37"/>
      <c r="C44" s="37"/>
      <c r="D44" s="37"/>
    </row>
    <row r="45">
      <c r="B45" s="37"/>
      <c r="C45" s="37"/>
      <c r="D45" s="37"/>
    </row>
    <row r="46">
      <c r="B46" s="37"/>
      <c r="C46" s="37"/>
      <c r="D46" s="37"/>
    </row>
    <row r="47">
      <c r="B47" s="37"/>
      <c r="C47" s="37"/>
      <c r="D47" s="37"/>
    </row>
    <row r="48">
      <c r="B48" s="37"/>
      <c r="C48" s="37"/>
      <c r="D48" s="37"/>
    </row>
    <row r="49">
      <c r="B49" s="37"/>
      <c r="C49" s="37"/>
      <c r="D49" s="37"/>
    </row>
    <row r="50">
      <c r="B50" s="37"/>
      <c r="C50" s="37"/>
      <c r="D50" s="37"/>
    </row>
    <row r="51">
      <c r="B51" s="37"/>
      <c r="C51" s="37"/>
      <c r="D51" s="37"/>
    </row>
    <row r="52">
      <c r="B52" s="37"/>
      <c r="C52" s="37"/>
      <c r="D52" s="37"/>
    </row>
    <row r="53">
      <c r="B53" s="37"/>
      <c r="C53" s="37"/>
      <c r="D53" s="37"/>
    </row>
    <row r="54">
      <c r="B54" s="37"/>
      <c r="C54" s="37"/>
      <c r="D54" s="37"/>
    </row>
    <row r="55">
      <c r="B55" s="37"/>
      <c r="C55" s="37"/>
      <c r="D55" s="37"/>
    </row>
    <row r="56">
      <c r="B56" s="37"/>
      <c r="C56" s="37"/>
      <c r="D56" s="37"/>
    </row>
    <row r="57">
      <c r="B57" s="37"/>
      <c r="C57" s="37"/>
      <c r="D57" s="37"/>
    </row>
    <row r="58">
      <c r="B58" s="37"/>
      <c r="C58" s="37"/>
      <c r="D58" s="37"/>
    </row>
    <row r="59">
      <c r="B59" s="37"/>
      <c r="C59" s="37"/>
      <c r="D59" s="37"/>
    </row>
    <row r="60">
      <c r="B60" s="37"/>
      <c r="C60" s="37"/>
      <c r="D60" s="37"/>
    </row>
    <row r="61">
      <c r="B61" s="37"/>
      <c r="C61" s="37"/>
      <c r="D61" s="37"/>
    </row>
    <row r="62">
      <c r="B62" s="37"/>
      <c r="C62" s="37"/>
      <c r="D62" s="37"/>
    </row>
    <row r="63">
      <c r="B63" s="37"/>
      <c r="C63" s="37"/>
      <c r="D63" s="37"/>
    </row>
    <row r="64">
      <c r="B64" s="37"/>
      <c r="C64" s="37"/>
      <c r="D64" s="37"/>
    </row>
    <row r="65">
      <c r="B65" s="37"/>
      <c r="C65" s="37"/>
      <c r="D65" s="37"/>
    </row>
    <row r="66">
      <c r="B66" s="37"/>
      <c r="C66" s="37"/>
      <c r="D66" s="37"/>
    </row>
    <row r="67">
      <c r="B67" s="37"/>
      <c r="C67" s="37"/>
      <c r="D67" s="37"/>
    </row>
    <row r="68">
      <c r="B68" s="37"/>
      <c r="C68" s="37"/>
      <c r="D68" s="37"/>
    </row>
    <row r="69">
      <c r="B69" s="37"/>
      <c r="C69" s="37"/>
      <c r="D69" s="37"/>
    </row>
    <row r="70">
      <c r="B70" s="37"/>
      <c r="C70" s="37"/>
      <c r="D70" s="37"/>
    </row>
    <row r="71">
      <c r="B71" s="37"/>
      <c r="C71" s="37"/>
      <c r="D71" s="37"/>
    </row>
    <row r="72">
      <c r="B72" s="37"/>
      <c r="C72" s="37"/>
      <c r="D72" s="37"/>
    </row>
    <row r="73">
      <c r="B73" s="37"/>
      <c r="C73" s="37"/>
      <c r="D73" s="37"/>
    </row>
    <row r="74">
      <c r="B74" s="37"/>
      <c r="C74" s="37"/>
      <c r="D74" s="37"/>
    </row>
    <row r="75">
      <c r="B75" s="37"/>
      <c r="C75" s="37"/>
      <c r="D75" s="37"/>
    </row>
    <row r="76">
      <c r="B76" s="37"/>
      <c r="C76" s="37"/>
      <c r="D76" s="37"/>
    </row>
    <row r="77">
      <c r="B77" s="37"/>
      <c r="C77" s="37"/>
      <c r="D77" s="37"/>
    </row>
    <row r="78">
      <c r="B78" s="37"/>
      <c r="C78" s="37"/>
      <c r="D78" s="37"/>
    </row>
    <row r="79">
      <c r="B79" s="37"/>
      <c r="C79" s="37"/>
      <c r="D79" s="37"/>
    </row>
    <row r="80">
      <c r="B80" s="37"/>
      <c r="C80" s="37"/>
      <c r="D80" s="37"/>
    </row>
    <row r="81">
      <c r="B81" s="37"/>
      <c r="C81" s="37"/>
      <c r="D81" s="37"/>
    </row>
    <row r="82">
      <c r="B82" s="37"/>
      <c r="C82" s="37"/>
      <c r="D82" s="37"/>
    </row>
    <row r="83">
      <c r="B83" s="37"/>
      <c r="C83" s="37"/>
      <c r="D83" s="37"/>
    </row>
    <row r="84">
      <c r="B84" s="37"/>
      <c r="C84" s="37"/>
      <c r="D84" s="37"/>
    </row>
    <row r="85">
      <c r="B85" s="37"/>
      <c r="C85" s="37"/>
      <c r="D85" s="37"/>
    </row>
    <row r="86">
      <c r="B86" s="37"/>
      <c r="C86" s="37"/>
      <c r="D86" s="37"/>
    </row>
    <row r="87">
      <c r="B87" s="37"/>
      <c r="C87" s="37"/>
      <c r="D87" s="37"/>
    </row>
    <row r="88">
      <c r="B88" s="37"/>
      <c r="C88" s="37"/>
      <c r="D88" s="37"/>
    </row>
    <row r="89">
      <c r="B89" s="37"/>
      <c r="C89" s="37"/>
      <c r="D89" s="37"/>
    </row>
    <row r="90">
      <c r="B90" s="37"/>
      <c r="C90" s="37"/>
      <c r="D90" s="37"/>
    </row>
    <row r="91">
      <c r="B91" s="37"/>
      <c r="C91" s="37"/>
      <c r="D91" s="37"/>
    </row>
    <row r="92">
      <c r="B92" s="37"/>
      <c r="C92" s="37"/>
      <c r="D92" s="37"/>
    </row>
    <row r="93">
      <c r="B93" s="37"/>
      <c r="C93" s="37"/>
      <c r="D93" s="37"/>
    </row>
    <row r="94">
      <c r="B94" s="37"/>
      <c r="C94" s="37"/>
      <c r="D94" s="37"/>
    </row>
    <row r="95">
      <c r="B95" s="37"/>
      <c r="C95" s="37"/>
      <c r="D95" s="37"/>
    </row>
    <row r="96">
      <c r="B96" s="37"/>
      <c r="C96" s="37"/>
      <c r="D96" s="37"/>
    </row>
    <row r="97">
      <c r="B97" s="37"/>
      <c r="C97" s="37"/>
      <c r="D97" s="37"/>
    </row>
    <row r="98">
      <c r="B98" s="37"/>
      <c r="C98" s="37"/>
      <c r="D98" s="37"/>
    </row>
    <row r="99">
      <c r="B99" s="37"/>
      <c r="C99" s="37"/>
      <c r="D99" s="37"/>
    </row>
    <row r="100">
      <c r="B100" s="37"/>
      <c r="C100" s="37"/>
      <c r="D100" s="37"/>
    </row>
    <row r="101">
      <c r="B101" s="37"/>
      <c r="C101" s="37"/>
      <c r="D101" s="37"/>
    </row>
    <row r="102">
      <c r="B102" s="37"/>
      <c r="C102" s="37"/>
      <c r="D102" s="37"/>
    </row>
    <row r="103">
      <c r="B103" s="37"/>
      <c r="C103" s="37"/>
      <c r="D103" s="37"/>
    </row>
    <row r="104">
      <c r="B104" s="37"/>
      <c r="C104" s="37"/>
      <c r="D104" s="37"/>
    </row>
    <row r="105">
      <c r="B105" s="37"/>
      <c r="C105" s="37"/>
      <c r="D105" s="37"/>
    </row>
    <row r="106">
      <c r="B106" s="37"/>
      <c r="C106" s="37"/>
      <c r="D106" s="37"/>
    </row>
    <row r="107">
      <c r="B107" s="37"/>
      <c r="C107" s="37"/>
      <c r="D107" s="37"/>
    </row>
    <row r="108">
      <c r="B108" s="37"/>
      <c r="C108" s="37"/>
      <c r="D108" s="37"/>
    </row>
    <row r="109">
      <c r="B109" s="37"/>
      <c r="C109" s="37"/>
      <c r="D109" s="37"/>
    </row>
    <row r="110">
      <c r="B110" s="37"/>
      <c r="C110" s="37"/>
      <c r="D110" s="37"/>
    </row>
    <row r="111">
      <c r="B111" s="37"/>
      <c r="C111" s="37"/>
      <c r="D111" s="37"/>
    </row>
    <row r="112">
      <c r="B112" s="37"/>
      <c r="C112" s="37"/>
      <c r="D112" s="37"/>
    </row>
    <row r="113">
      <c r="B113" s="37"/>
      <c r="C113" s="37"/>
      <c r="D113" s="37"/>
    </row>
    <row r="114">
      <c r="B114" s="37"/>
      <c r="C114" s="37"/>
      <c r="D114" s="37"/>
    </row>
    <row r="115">
      <c r="B115" s="37"/>
      <c r="C115" s="37"/>
      <c r="D115" s="37"/>
    </row>
    <row r="116">
      <c r="B116" s="37"/>
      <c r="C116" s="37"/>
      <c r="D116" s="37"/>
    </row>
    <row r="117">
      <c r="B117" s="37"/>
      <c r="C117" s="37"/>
      <c r="D117" s="37"/>
    </row>
    <row r="118">
      <c r="B118" s="37"/>
      <c r="C118" s="37"/>
      <c r="D118" s="37"/>
    </row>
    <row r="119">
      <c r="B119" s="37"/>
      <c r="C119" s="37"/>
      <c r="D119" s="37"/>
    </row>
    <row r="120">
      <c r="B120" s="37"/>
      <c r="C120" s="37"/>
      <c r="D120" s="37"/>
    </row>
    <row r="121">
      <c r="B121" s="37"/>
      <c r="C121" s="37"/>
      <c r="D121" s="37"/>
    </row>
    <row r="122">
      <c r="B122" s="37"/>
      <c r="C122" s="37"/>
      <c r="D122" s="37"/>
    </row>
    <row r="123">
      <c r="B123" s="37"/>
      <c r="C123" s="37"/>
      <c r="D123" s="37"/>
    </row>
    <row r="124">
      <c r="B124" s="37"/>
      <c r="C124" s="37"/>
      <c r="D124" s="37"/>
    </row>
    <row r="125">
      <c r="B125" s="37"/>
      <c r="C125" s="37"/>
      <c r="D125" s="37"/>
    </row>
    <row r="126">
      <c r="B126" s="37"/>
      <c r="C126" s="37"/>
      <c r="D126" s="37"/>
    </row>
    <row r="127">
      <c r="B127" s="37"/>
      <c r="C127" s="37"/>
      <c r="D127" s="37"/>
    </row>
    <row r="128">
      <c r="B128" s="37"/>
      <c r="C128" s="37"/>
      <c r="D128" s="37"/>
    </row>
    <row r="129">
      <c r="B129" s="37"/>
      <c r="C129" s="37"/>
      <c r="D129" s="37"/>
    </row>
    <row r="130">
      <c r="B130" s="37"/>
      <c r="C130" s="37"/>
      <c r="D130" s="37"/>
    </row>
    <row r="131">
      <c r="B131" s="37"/>
      <c r="C131" s="37"/>
      <c r="D131" s="37"/>
    </row>
    <row r="132">
      <c r="B132" s="37"/>
      <c r="C132" s="37"/>
      <c r="D132" s="37"/>
    </row>
    <row r="133">
      <c r="B133" s="37"/>
      <c r="C133" s="37"/>
      <c r="D133" s="37"/>
    </row>
    <row r="134">
      <c r="B134" s="37"/>
      <c r="C134" s="37"/>
      <c r="D134" s="37"/>
    </row>
    <row r="135">
      <c r="B135" s="37"/>
      <c r="C135" s="37"/>
      <c r="D135" s="37"/>
    </row>
    <row r="136">
      <c r="B136" s="37"/>
      <c r="C136" s="37"/>
      <c r="D136" s="37"/>
    </row>
    <row r="137">
      <c r="B137" s="37"/>
      <c r="C137" s="37"/>
      <c r="D137" s="37"/>
    </row>
    <row r="138">
      <c r="B138" s="37"/>
      <c r="C138" s="37"/>
      <c r="D138" s="37"/>
    </row>
    <row r="139">
      <c r="B139" s="37"/>
      <c r="C139" s="37"/>
      <c r="D139" s="37"/>
    </row>
    <row r="140">
      <c r="B140" s="37"/>
      <c r="C140" s="37"/>
      <c r="D140" s="37"/>
    </row>
    <row r="141">
      <c r="B141" s="37"/>
      <c r="C141" s="37"/>
      <c r="D141" s="37"/>
    </row>
    <row r="142">
      <c r="B142" s="37"/>
      <c r="C142" s="37"/>
      <c r="D142" s="37"/>
    </row>
    <row r="143">
      <c r="B143" s="37"/>
      <c r="C143" s="37"/>
      <c r="D143" s="37"/>
    </row>
    <row r="144">
      <c r="B144" s="37"/>
      <c r="C144" s="37"/>
      <c r="D144" s="37"/>
    </row>
    <row r="145">
      <c r="B145" s="37"/>
      <c r="C145" s="37"/>
      <c r="D145" s="37"/>
    </row>
    <row r="146">
      <c r="B146" s="37"/>
      <c r="C146" s="37"/>
      <c r="D146" s="37"/>
    </row>
    <row r="147">
      <c r="B147" s="37"/>
      <c r="C147" s="37"/>
      <c r="D147" s="37"/>
    </row>
    <row r="148">
      <c r="B148" s="37"/>
      <c r="C148" s="37"/>
      <c r="D148" s="37"/>
    </row>
    <row r="149">
      <c r="B149" s="37"/>
      <c r="C149" s="37"/>
      <c r="D149" s="37"/>
    </row>
    <row r="150">
      <c r="B150" s="37"/>
      <c r="C150" s="37"/>
      <c r="D150" s="37"/>
    </row>
    <row r="151">
      <c r="B151" s="37"/>
      <c r="C151" s="37"/>
      <c r="D151" s="37"/>
    </row>
    <row r="152">
      <c r="B152" s="37"/>
      <c r="C152" s="37"/>
      <c r="D152" s="37"/>
    </row>
    <row r="153">
      <c r="B153" s="37"/>
      <c r="C153" s="37"/>
      <c r="D153" s="37"/>
    </row>
    <row r="154">
      <c r="B154" s="37"/>
      <c r="C154" s="37"/>
      <c r="D154" s="37"/>
    </row>
    <row r="155">
      <c r="B155" s="37"/>
      <c r="C155" s="37"/>
      <c r="D155" s="37"/>
    </row>
    <row r="156">
      <c r="B156" s="37"/>
      <c r="C156" s="37"/>
      <c r="D156" s="37"/>
    </row>
    <row r="157">
      <c r="B157" s="37"/>
      <c r="C157" s="37"/>
      <c r="D157" s="37"/>
    </row>
    <row r="158">
      <c r="B158" s="37"/>
      <c r="C158" s="37"/>
      <c r="D158" s="37"/>
    </row>
    <row r="159">
      <c r="B159" s="37"/>
      <c r="C159" s="37"/>
      <c r="D159" s="37"/>
    </row>
    <row r="160">
      <c r="B160" s="37"/>
      <c r="C160" s="37"/>
      <c r="D160" s="37"/>
    </row>
    <row r="161">
      <c r="B161" s="37"/>
      <c r="C161" s="37"/>
      <c r="D161" s="37"/>
    </row>
    <row r="162">
      <c r="B162" s="37"/>
      <c r="C162" s="37"/>
      <c r="D162" s="37"/>
    </row>
    <row r="163">
      <c r="B163" s="37"/>
      <c r="C163" s="37"/>
      <c r="D163" s="37"/>
    </row>
    <row r="164">
      <c r="B164" s="37"/>
      <c r="C164" s="37"/>
      <c r="D164" s="37"/>
    </row>
    <row r="165">
      <c r="B165" s="37"/>
      <c r="C165" s="37"/>
      <c r="D165" s="37"/>
    </row>
    <row r="166">
      <c r="B166" s="37"/>
      <c r="C166" s="37"/>
      <c r="D166" s="37"/>
    </row>
    <row r="167">
      <c r="B167" s="37"/>
      <c r="C167" s="37"/>
      <c r="D167" s="37"/>
    </row>
    <row r="168">
      <c r="B168" s="37"/>
      <c r="C168" s="37"/>
      <c r="D168" s="37"/>
    </row>
    <row r="169">
      <c r="B169" s="37"/>
      <c r="C169" s="37"/>
      <c r="D169" s="37"/>
    </row>
    <row r="170">
      <c r="B170" s="37"/>
      <c r="C170" s="37"/>
      <c r="D170" s="37"/>
    </row>
    <row r="171">
      <c r="B171" s="37"/>
      <c r="C171" s="37"/>
      <c r="D171" s="37"/>
    </row>
    <row r="172">
      <c r="B172" s="37"/>
      <c r="C172" s="37"/>
      <c r="D172" s="37"/>
    </row>
    <row r="173">
      <c r="B173" s="37"/>
      <c r="C173" s="37"/>
      <c r="D173" s="37"/>
    </row>
    <row r="174">
      <c r="B174" s="37"/>
      <c r="C174" s="37"/>
      <c r="D174" s="37"/>
    </row>
    <row r="175">
      <c r="B175" s="37"/>
      <c r="C175" s="37"/>
      <c r="D175" s="37"/>
    </row>
    <row r="176">
      <c r="B176" s="37"/>
      <c r="C176" s="37"/>
      <c r="D176" s="37"/>
    </row>
    <row r="177">
      <c r="B177" s="37"/>
      <c r="C177" s="37"/>
      <c r="D177" s="37"/>
    </row>
    <row r="178">
      <c r="B178" s="37"/>
      <c r="C178" s="37"/>
      <c r="D178" s="37"/>
    </row>
    <row r="179">
      <c r="B179" s="37"/>
      <c r="C179" s="37"/>
      <c r="D179" s="37"/>
    </row>
    <row r="180">
      <c r="B180" s="37"/>
      <c r="C180" s="37"/>
      <c r="D180" s="37"/>
    </row>
    <row r="181">
      <c r="B181" s="37"/>
      <c r="C181" s="37"/>
      <c r="D181" s="37"/>
    </row>
    <row r="182">
      <c r="B182" s="37"/>
      <c r="C182" s="37"/>
      <c r="D182" s="37"/>
    </row>
    <row r="183">
      <c r="B183" s="37"/>
      <c r="C183" s="37"/>
      <c r="D183" s="37"/>
    </row>
    <row r="184">
      <c r="B184" s="37"/>
      <c r="C184" s="37"/>
      <c r="D184" s="37"/>
    </row>
    <row r="185">
      <c r="B185" s="37"/>
      <c r="C185" s="37"/>
      <c r="D185" s="37"/>
    </row>
    <row r="186">
      <c r="B186" s="37"/>
      <c r="C186" s="37"/>
      <c r="D186" s="37"/>
    </row>
    <row r="187">
      <c r="B187" s="37"/>
      <c r="C187" s="37"/>
      <c r="D187" s="37"/>
    </row>
    <row r="188">
      <c r="B188" s="37"/>
      <c r="C188" s="37"/>
      <c r="D188" s="37"/>
    </row>
    <row r="189">
      <c r="B189" s="37"/>
      <c r="C189" s="37"/>
      <c r="D189" s="37"/>
    </row>
    <row r="190">
      <c r="B190" s="37"/>
      <c r="C190" s="37"/>
      <c r="D190" s="37"/>
    </row>
    <row r="191">
      <c r="B191" s="37"/>
      <c r="C191" s="37"/>
      <c r="D191" s="37"/>
    </row>
  </sheetData>
  <conditionalFormatting sqref="D7:D12 D14:D14">
    <cfRule dxfId="21" operator="greaterThanOrEqual" priority="2" stopIfTrue="true" type="cellIs">
      <formula>0.9</formula>
    </cfRule>
  </conditionalFormatting>
  <conditionalFormatting sqref="D7:D12 D14:D14">
    <cfRule dxfId="22" operator="greaterThanOrEqual" priority="3" stopIfTrue="true" type="cellIs">
      <formula>0.8</formula>
    </cfRule>
  </conditionalFormatting>
  <conditionalFormatting sqref="D7:D12 D14:D14">
    <cfRule dxfId="23" operator="lessThan" priority="4" stopIfTrue="true" type="cellIs">
      <formula>0.8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